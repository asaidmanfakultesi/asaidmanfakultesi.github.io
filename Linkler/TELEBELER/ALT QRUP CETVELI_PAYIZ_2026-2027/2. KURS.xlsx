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y Drive\TELEBELER\ALT QRUP CETVELI\"/>
    </mc:Choice>
  </mc:AlternateContent>
  <xr:revisionPtr revIDLastSave="0" documentId="8_{0564324C-0AE8-4AD4-BE83-E42156CED820}" xr6:coauthVersionLast="47" xr6:coauthVersionMax="47" xr10:uidLastSave="{00000000-0000-0000-0000-000000000000}"/>
  <bookViews>
    <workbookView xWindow="5988" yWindow="2376" windowWidth="16848" windowHeight="10128" xr2:uid="{B01A9F36-5766-4EF9-A277-B4FF4C6D9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39" i="1" l="1"/>
  <c r="N39" i="1" s="1"/>
  <c r="S39" i="1" s="1"/>
  <c r="O38" i="1"/>
  <c r="M38" i="1"/>
  <c r="N38" i="1" s="1"/>
  <c r="M37" i="1"/>
  <c r="N37" i="1" s="1"/>
  <c r="M36" i="1"/>
  <c r="N36" i="1" s="1"/>
  <c r="M35" i="1"/>
  <c r="N35" i="1" s="1"/>
  <c r="M34" i="1"/>
  <c r="N34" i="1" s="1"/>
  <c r="M33" i="1"/>
  <c r="N33" i="1" s="1"/>
  <c r="M32" i="1"/>
  <c r="N32" i="1" s="1"/>
  <c r="M31" i="1"/>
  <c r="N31" i="1" s="1"/>
  <c r="M30" i="1"/>
  <c r="N30" i="1" s="1"/>
  <c r="M29" i="1"/>
  <c r="N29" i="1" s="1"/>
  <c r="M28" i="1"/>
  <c r="N28" i="1" s="1"/>
  <c r="M27" i="1"/>
  <c r="N27" i="1" s="1"/>
  <c r="M26" i="1"/>
  <c r="N26" i="1" s="1"/>
  <c r="M25" i="1"/>
  <c r="N25" i="1" s="1"/>
  <c r="M24" i="1"/>
  <c r="N24" i="1" s="1"/>
  <c r="M23" i="1"/>
  <c r="N23" i="1" s="1"/>
  <c r="M22" i="1"/>
  <c r="N22" i="1" s="1"/>
  <c r="M21" i="1"/>
  <c r="N21" i="1" s="1"/>
  <c r="M20" i="1"/>
  <c r="N20" i="1" s="1"/>
  <c r="M19" i="1"/>
  <c r="N19" i="1" s="1"/>
  <c r="M18" i="1"/>
  <c r="N18" i="1" s="1"/>
  <c r="M17" i="1"/>
  <c r="N17" i="1" s="1"/>
  <c r="M16" i="1"/>
  <c r="N16" i="1" s="1"/>
  <c r="M15" i="1"/>
  <c r="N15" i="1" s="1"/>
  <c r="M14" i="1"/>
  <c r="N14" i="1" s="1"/>
  <c r="M13" i="1"/>
  <c r="N13" i="1" s="1"/>
  <c r="M12" i="1"/>
  <c r="N12" i="1" s="1"/>
  <c r="M11" i="1"/>
  <c r="N11" i="1" s="1"/>
  <c r="M10" i="1"/>
  <c r="N10" i="1" s="1"/>
  <c r="M9" i="1"/>
  <c r="N9" i="1" s="1"/>
  <c r="M8" i="1"/>
  <c r="N8" i="1" s="1"/>
  <c r="M7" i="1"/>
  <c r="N7" i="1" s="1"/>
  <c r="M6" i="1"/>
  <c r="N6" i="1" s="1"/>
  <c r="S37" i="1" l="1"/>
  <c r="Q37" i="1" s="1"/>
  <c r="S36" i="1"/>
  <c r="Q36" i="1" s="1"/>
  <c r="S35" i="1"/>
  <c r="Q35" i="1" s="1"/>
  <c r="S34" i="1"/>
  <c r="Q34" i="1" s="1"/>
  <c r="S33" i="1"/>
  <c r="Q33" i="1" s="1"/>
  <c r="S32" i="1"/>
  <c r="Q32" i="1" s="1"/>
  <c r="S31" i="1"/>
  <c r="Q31" i="1" s="1"/>
  <c r="S30" i="1"/>
  <c r="Q30" i="1" s="1"/>
  <c r="S29" i="1"/>
  <c r="Q29" i="1" s="1"/>
  <c r="S28" i="1"/>
  <c r="Q28" i="1" s="1"/>
  <c r="S27" i="1"/>
  <c r="Q27" i="1" s="1"/>
  <c r="S26" i="1"/>
  <c r="Q26" i="1" s="1"/>
  <c r="S25" i="1"/>
  <c r="Q25" i="1" s="1"/>
  <c r="S24" i="1"/>
  <c r="Q24" i="1" s="1"/>
  <c r="S23" i="1"/>
  <c r="Q23" i="1" s="1"/>
  <c r="S22" i="1"/>
  <c r="Q22" i="1" s="1"/>
  <c r="S21" i="1"/>
  <c r="Q21" i="1" s="1"/>
  <c r="S20" i="1"/>
  <c r="Q20" i="1" s="1"/>
  <c r="S19" i="1"/>
  <c r="Q19" i="1" s="1"/>
  <c r="S18" i="1"/>
  <c r="Q18" i="1" s="1"/>
  <c r="S17" i="1"/>
  <c r="Q17" i="1" s="1"/>
  <c r="S16" i="1"/>
  <c r="Q16" i="1" s="1"/>
  <c r="S15" i="1"/>
  <c r="Q15" i="1" s="1"/>
  <c r="S14" i="1"/>
  <c r="Q14" i="1" s="1"/>
  <c r="S13" i="1"/>
  <c r="Q13" i="1" s="1"/>
  <c r="S12" i="1"/>
  <c r="Q12" i="1" s="1"/>
  <c r="S11" i="1"/>
  <c r="Q11" i="1" s="1"/>
  <c r="S10" i="1"/>
  <c r="Q10" i="1" s="1"/>
  <c r="S9" i="1"/>
  <c r="Q9" i="1" s="1"/>
  <c r="S8" i="1"/>
  <c r="Q8" i="1" s="1"/>
  <c r="S7" i="1"/>
  <c r="Q7" i="1" s="1"/>
  <c r="S6" i="1"/>
  <c r="Q6" i="1" s="1"/>
</calcChain>
</file>

<file path=xl/sharedStrings.xml><?xml version="1.0" encoding="utf-8"?>
<sst xmlns="http://schemas.openxmlformats.org/spreadsheetml/2006/main" count="328" uniqueCount="182">
  <si>
    <t>2026/2027- ci tədris ilinin payız semestrində əyani təhsilalma forması üzrə təhsil alan tələbələrin kredit borcu olan fənlərdən təkrar dinləmə dərslərində iştirak edən tələbələrin ödəniş cədvəli</t>
  </si>
  <si>
    <t>İdman fakültəsi</t>
  </si>
  <si>
    <t>№</t>
  </si>
  <si>
    <t>Qrup №-si</t>
  </si>
  <si>
    <t>İD kod</t>
  </si>
  <si>
    <t>Soyadı</t>
  </si>
  <si>
    <t>Adı</t>
  </si>
  <si>
    <t>Ata adı</t>
  </si>
  <si>
    <t>Fənn</t>
  </si>
  <si>
    <t>Fənnin krediti</t>
  </si>
  <si>
    <t>Oturduğu qrup</t>
  </si>
  <si>
    <t>Oturduğu yarımqrup</t>
  </si>
  <si>
    <t>Oturduğu qrup üçün istiqamət</t>
  </si>
  <si>
    <t>İllik təhsil haqqı</t>
  </si>
  <si>
    <t>Əlavə kredit</t>
  </si>
  <si>
    <t>Ödənilməli məbləğ</t>
  </si>
  <si>
    <t>Ödənilən məbləğ</t>
  </si>
  <si>
    <t>Ödənişin tarixi</t>
  </si>
  <si>
    <t>Qalıq borc</t>
  </si>
  <si>
    <t>Əvvəlki Balans</t>
  </si>
  <si>
    <t>Sonrakı Balans</t>
  </si>
  <si>
    <t>Qeyd</t>
  </si>
  <si>
    <t>215A1</t>
  </si>
  <si>
    <t>QASIMZADƏ</t>
  </si>
  <si>
    <t>SƏTTAR</t>
  </si>
  <si>
    <t>ELMAN</t>
  </si>
  <si>
    <t>Azərbaycan tarixi</t>
  </si>
  <si>
    <t>216A3</t>
  </si>
  <si>
    <t>216A3-1</t>
  </si>
  <si>
    <t>316A,216A,346A</t>
  </si>
  <si>
    <t>05.05.2026</t>
  </si>
  <si>
    <t>ƏNSƏROV</t>
  </si>
  <si>
    <t>RAMİL</t>
  </si>
  <si>
    <t>QARA</t>
  </si>
  <si>
    <t>İkinci blok: İnformatika və təhsildə  İKT</t>
  </si>
  <si>
    <t>116A1</t>
  </si>
  <si>
    <t>116A1-1</t>
  </si>
  <si>
    <t>116A</t>
  </si>
  <si>
    <t>ƏHMƏDOV</t>
  </si>
  <si>
    <t>MİRZƏ</t>
  </si>
  <si>
    <t>FAİQ</t>
  </si>
  <si>
    <t>Xarici dildə işgüzar və akademik kommunikasiya-1 (İngilis dili)</t>
  </si>
  <si>
    <t>216A1</t>
  </si>
  <si>
    <t>216A-İngilis-1</t>
  </si>
  <si>
    <t>216A</t>
  </si>
  <si>
    <t>AXUNDOV</t>
  </si>
  <si>
    <t>TELMAN</t>
  </si>
  <si>
    <t>ƏLƏDDİN</t>
  </si>
  <si>
    <t>216A1-1</t>
  </si>
  <si>
    <t>04.05.2026</t>
  </si>
  <si>
    <t>ATAŞLI</t>
  </si>
  <si>
    <t>ELCAN</t>
  </si>
  <si>
    <t>MƏHƏMMƏDƏLİ</t>
  </si>
  <si>
    <t>13.05.2026</t>
  </si>
  <si>
    <t>SÜLEYMANLI</t>
  </si>
  <si>
    <t>ÜLVÜ</t>
  </si>
  <si>
    <t>ASİM</t>
  </si>
  <si>
    <t>19.05.2026</t>
  </si>
  <si>
    <t>215A2</t>
  </si>
  <si>
    <t>MƏMMƏDOV</t>
  </si>
  <si>
    <t>MİRXƏTAİ</t>
  </si>
  <si>
    <t>SİRUZ</t>
  </si>
  <si>
    <t>216A1-2</t>
  </si>
  <si>
    <t>14.05.2026</t>
  </si>
  <si>
    <t>İSGƏNDƏROV</t>
  </si>
  <si>
    <t>ƏSMAN</t>
  </si>
  <si>
    <t>AZƏR</t>
  </si>
  <si>
    <t>07.05.2026</t>
  </si>
  <si>
    <t>216A-İngilis-2</t>
  </si>
  <si>
    <t>215A3</t>
  </si>
  <si>
    <t>MƏDƏTLİ</t>
  </si>
  <si>
    <t>NİHAD</t>
  </si>
  <si>
    <t>Ümumi və idman psixologiyası</t>
  </si>
  <si>
    <t>06.05.2026</t>
  </si>
  <si>
    <t>215A4</t>
  </si>
  <si>
    <t>AĞABALAYEV</t>
  </si>
  <si>
    <t>VALERİK</t>
  </si>
  <si>
    <t>216A2</t>
  </si>
  <si>
    <t>216A2-1</t>
  </si>
  <si>
    <t>25.05.2026</t>
  </si>
  <si>
    <t>MUXTARZADƏ</t>
  </si>
  <si>
    <t>HÜSEYN</t>
  </si>
  <si>
    <t>RÜFƏT</t>
  </si>
  <si>
    <t>08.05.2026</t>
  </si>
  <si>
    <t>215A5</t>
  </si>
  <si>
    <t>SƏFƏRLİ</t>
  </si>
  <si>
    <t>KƏNAN</t>
  </si>
  <si>
    <t>DİLQAMİN</t>
  </si>
  <si>
    <t>216A5</t>
  </si>
  <si>
    <t>216A-İngilis-10</t>
  </si>
  <si>
    <t>VƏLİYEV</t>
  </si>
  <si>
    <t>SƏMƏNDƏR</t>
  </si>
  <si>
    <t>216A5-1</t>
  </si>
  <si>
    <t>116A7</t>
  </si>
  <si>
    <t>116A7-1</t>
  </si>
  <si>
    <t>14.05.2023</t>
  </si>
  <si>
    <t>215A6</t>
  </si>
  <si>
    <t>ƏHMƏDLİ</t>
  </si>
  <si>
    <t>TUNAR</t>
  </si>
  <si>
    <t>RƏXŞAN</t>
  </si>
  <si>
    <t>İkinci blok:  İnformatika və təhsildə  İKT</t>
  </si>
  <si>
    <t>04.02.2026</t>
  </si>
  <si>
    <t>215A7</t>
  </si>
  <si>
    <t>MUSTAFAYEV</t>
  </si>
  <si>
    <t>CAVİD</t>
  </si>
  <si>
    <t>NİCAD</t>
  </si>
  <si>
    <t>216A7</t>
  </si>
  <si>
    <t>216A-İngilis-13</t>
  </si>
  <si>
    <t>İBRAHİMLİ</t>
  </si>
  <si>
    <t>İBRAHİM</t>
  </si>
  <si>
    <t>216A1-İngilis-14</t>
  </si>
  <si>
    <t>RƏHİMOV</t>
  </si>
  <si>
    <t>ELŞƏN</t>
  </si>
  <si>
    <t>216A7-1</t>
  </si>
  <si>
    <t>01.06.2026</t>
  </si>
  <si>
    <t>ALIYEV</t>
  </si>
  <si>
    <t>MALİK</t>
  </si>
  <si>
    <t>15.07.2026</t>
  </si>
  <si>
    <t>215A10</t>
  </si>
  <si>
    <t>MÜZƏFFƏROV</t>
  </si>
  <si>
    <t>NUHAN</t>
  </si>
  <si>
    <t>ELNUR</t>
  </si>
  <si>
    <t>316A1</t>
  </si>
  <si>
    <t>316A1-1</t>
  </si>
  <si>
    <t>17.08.2026</t>
  </si>
  <si>
    <t>215R1</t>
  </si>
  <si>
    <t>SULTANOV</t>
  </si>
  <si>
    <t>NİCAT</t>
  </si>
  <si>
    <t>RAMİNOVİÇ</t>
  </si>
  <si>
    <t>116R1</t>
  </si>
  <si>
    <t>116R1-1</t>
  </si>
  <si>
    <t>116R</t>
  </si>
  <si>
    <t>06.02.2026</t>
  </si>
  <si>
    <t>216R3</t>
  </si>
  <si>
    <t>216R3-1</t>
  </si>
  <si>
    <t>316R,216R</t>
  </si>
  <si>
    <t>BAYRAMOVA</t>
  </si>
  <si>
    <t>ZƏHRA</t>
  </si>
  <si>
    <t>RASİM</t>
  </si>
  <si>
    <t>26.05.2026</t>
  </si>
  <si>
    <t>QIRXLAROV</t>
  </si>
  <si>
    <t>AYXAN</t>
  </si>
  <si>
    <t>SƏBUHİ</t>
  </si>
  <si>
    <t>216R- İngilis dili-5</t>
  </si>
  <si>
    <t>216R</t>
  </si>
  <si>
    <t>16.06.2026</t>
  </si>
  <si>
    <t>HÜSEYNOV</t>
  </si>
  <si>
    <t>RƏVAN</t>
  </si>
  <si>
    <t>İNTİQAM</t>
  </si>
  <si>
    <t>10.06.2026</t>
  </si>
  <si>
    <t>KAMRAN</t>
  </si>
  <si>
    <t xml:space="preserve">I seçmə fənn bloku: Riyaziyyat                                             </t>
  </si>
  <si>
    <t>316R1</t>
  </si>
  <si>
    <t>316R-1</t>
  </si>
  <si>
    <t>316R</t>
  </si>
  <si>
    <t>23.07.2026</t>
  </si>
  <si>
    <t>215R2</t>
  </si>
  <si>
    <t>QAQNİDZE</t>
  </si>
  <si>
    <t>TENGİZ</t>
  </si>
  <si>
    <t>VLADİMİROVİÇ</t>
  </si>
  <si>
    <t>ƏLİYEV</t>
  </si>
  <si>
    <t>TOFİQ</t>
  </si>
  <si>
    <t>ELXAN</t>
  </si>
  <si>
    <t>23.06.2026</t>
  </si>
  <si>
    <t>ORUCOV</t>
  </si>
  <si>
    <t>FƏRİD</t>
  </si>
  <si>
    <t>ASİF</t>
  </si>
  <si>
    <t>27.07.2026</t>
  </si>
  <si>
    <t>İSRAFİLOV</t>
  </si>
  <si>
    <t>NİZAMİ</t>
  </si>
  <si>
    <t>TEYMUR</t>
  </si>
  <si>
    <t>20.07.2026</t>
  </si>
  <si>
    <t>215i2</t>
  </si>
  <si>
    <t>HƏSƏNOV</t>
  </si>
  <si>
    <t>SƏMƏD</t>
  </si>
  <si>
    <t>Xarici dildə işgüzar və akademik kommunikasiya-1 (Rus dili)</t>
  </si>
  <si>
    <t>216İ1</t>
  </si>
  <si>
    <t>216İ-Rus dili-1</t>
  </si>
  <si>
    <t>14.05.2026
15.05.2026</t>
  </si>
  <si>
    <t>NƏBİLİ</t>
  </si>
  <si>
    <t>ƏLİ</t>
  </si>
  <si>
    <t>RƏMZİ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</si>
</sst>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sz val="11"/>
      <color rgb="FF000000"/>
      <name val="Arial"/>
    </font>
    <font>
      <sz val="11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1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horizontal="right" vertical="center" wrapText="1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164" fontId="2" fillId="3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C0615-04A2-42B6-AE03-F979FE8E3755}">
  <dimension ref="A1:BD39"/>
  <sheetViews>
    <sheetView tabSelected="1" zoomScale="50" zoomScaleNormal="50" workbookViewId="0">
      <selection activeCell="G8" sqref="G8"/>
    </sheetView>
  </sheetViews>
  <sheetFormatPr defaultRowHeight="14.4" x14ac:dyDescent="0.3"/>
  <cols>
    <col min="2" max="2" width="12" customWidth="1"/>
    <col min="4" max="4" width="20.88671875" customWidth="1"/>
    <col min="5" max="5" width="13.109375" customWidth="1"/>
    <col min="6" max="6" width="15.5546875" customWidth="1"/>
    <col min="7" max="7" width="57" customWidth="1"/>
    <col min="8" max="8" width="10.6640625" customWidth="1"/>
    <col min="9" max="9" width="15.5546875" customWidth="1"/>
    <col min="10" max="10" width="21.5546875" customWidth="1"/>
    <col min="11" max="11" width="24.44140625" customWidth="1"/>
    <col min="12" max="12" width="13.109375" customWidth="1"/>
    <col min="14" max="14" width="13.77734375" customWidth="1"/>
    <col min="15" max="15" width="17.5546875" customWidth="1"/>
    <col min="16" max="16" width="16.6640625" customWidth="1"/>
  </cols>
  <sheetData>
    <row r="1" spans="1:56" x14ac:dyDescent="0.3">
      <c r="A1" s="1"/>
      <c r="B1" s="1"/>
      <c r="C1" s="1"/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3"/>
      <c r="P1" s="2"/>
      <c r="Q1" s="2"/>
      <c r="R1" s="2"/>
      <c r="S1" s="2"/>
      <c r="T1" s="2"/>
      <c r="U1" s="4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6"/>
    </row>
    <row r="2" spans="1:56" x14ac:dyDescent="0.3">
      <c r="A2" s="1"/>
      <c r="B2" s="7" t="s">
        <v>0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2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6"/>
    </row>
    <row r="3" spans="1:56" x14ac:dyDescent="0.3">
      <c r="A3" s="9"/>
      <c r="B3" s="10"/>
      <c r="C3" s="10"/>
      <c r="D3" s="10"/>
      <c r="E3" s="10"/>
      <c r="F3" s="10"/>
      <c r="G3" s="1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</row>
    <row r="4" spans="1:56" ht="27.6" x14ac:dyDescent="0.3">
      <c r="A4" s="9"/>
      <c r="B4" s="10"/>
      <c r="C4" s="10"/>
      <c r="D4" s="10"/>
      <c r="E4" s="10"/>
      <c r="F4" s="10"/>
      <c r="G4" s="2" t="s">
        <v>1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</row>
    <row r="5" spans="1:56" ht="38.25" customHeight="1" x14ac:dyDescent="0.3">
      <c r="A5" s="11" t="s">
        <v>2</v>
      </c>
      <c r="B5" s="11" t="s">
        <v>3</v>
      </c>
      <c r="C5" s="11" t="s">
        <v>4</v>
      </c>
      <c r="D5" s="11" t="s">
        <v>5</v>
      </c>
      <c r="E5" s="11" t="s">
        <v>6</v>
      </c>
      <c r="F5" s="11" t="s">
        <v>7</v>
      </c>
      <c r="G5" s="11" t="s">
        <v>8</v>
      </c>
      <c r="H5" s="11" t="s">
        <v>9</v>
      </c>
      <c r="I5" s="11" t="s">
        <v>10</v>
      </c>
      <c r="J5" s="11" t="s">
        <v>11</v>
      </c>
      <c r="K5" s="11" t="s">
        <v>12</v>
      </c>
      <c r="L5" s="11" t="s">
        <v>13</v>
      </c>
      <c r="M5" s="12" t="s">
        <v>14</v>
      </c>
      <c r="N5" s="13" t="s">
        <v>15</v>
      </c>
      <c r="O5" s="12" t="s">
        <v>16</v>
      </c>
      <c r="P5" s="11" t="s">
        <v>17</v>
      </c>
      <c r="Q5" s="14" t="s">
        <v>18</v>
      </c>
      <c r="R5" s="13" t="s">
        <v>19</v>
      </c>
      <c r="S5" s="13" t="s">
        <v>20</v>
      </c>
      <c r="T5" s="11" t="s">
        <v>21</v>
      </c>
      <c r="U5" s="2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</row>
    <row r="6" spans="1:56" ht="27.6" x14ac:dyDescent="0.3">
      <c r="A6" s="15">
        <v>1</v>
      </c>
      <c r="B6" s="16" t="s">
        <v>22</v>
      </c>
      <c r="C6" s="16">
        <v>250704</v>
      </c>
      <c r="D6" s="16" t="s">
        <v>23</v>
      </c>
      <c r="E6" s="16" t="s">
        <v>24</v>
      </c>
      <c r="F6" s="16" t="s">
        <v>25</v>
      </c>
      <c r="G6" s="17" t="s">
        <v>26</v>
      </c>
      <c r="H6" s="18">
        <v>5</v>
      </c>
      <c r="I6" s="19" t="s">
        <v>27</v>
      </c>
      <c r="J6" s="19" t="s">
        <v>28</v>
      </c>
      <c r="K6" s="18" t="s">
        <v>29</v>
      </c>
      <c r="L6" s="20">
        <v>2500</v>
      </c>
      <c r="M6" s="19">
        <f t="shared" ref="M6:M39" si="0">H6</f>
        <v>5</v>
      </c>
      <c r="N6" s="21">
        <f t="shared" ref="N6:N39" si="1">L6/60*M6</f>
        <v>208.33333333333331</v>
      </c>
      <c r="O6" s="18">
        <v>209</v>
      </c>
      <c r="P6" s="22" t="s">
        <v>30</v>
      </c>
      <c r="Q6" s="23">
        <f t="shared" ref="Q6:Q37" si="2">N6-O6-R6+S6</f>
        <v>0</v>
      </c>
      <c r="R6" s="24"/>
      <c r="S6" s="25">
        <f t="shared" ref="S6:S37" si="3">(R6+O6)-N6</f>
        <v>0.66666666666668561</v>
      </c>
      <c r="T6" s="26"/>
      <c r="U6" s="9"/>
      <c r="V6" s="9"/>
      <c r="W6" s="9"/>
      <c r="X6" s="9"/>
      <c r="Y6" s="9"/>
      <c r="Z6" s="9"/>
      <c r="AA6" s="9"/>
      <c r="AB6" s="9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</row>
    <row r="7" spans="1:56" ht="37.200000000000003" customHeight="1" x14ac:dyDescent="0.3">
      <c r="A7" s="15">
        <v>2</v>
      </c>
      <c r="B7" s="16" t="s">
        <v>22</v>
      </c>
      <c r="C7" s="16">
        <v>250685</v>
      </c>
      <c r="D7" s="16" t="s">
        <v>31</v>
      </c>
      <c r="E7" s="16" t="s">
        <v>32</v>
      </c>
      <c r="F7" s="16" t="s">
        <v>33</v>
      </c>
      <c r="G7" s="17" t="s">
        <v>34</v>
      </c>
      <c r="H7" s="18">
        <v>3</v>
      </c>
      <c r="I7" s="19" t="s">
        <v>35</v>
      </c>
      <c r="J7" s="19" t="s">
        <v>36</v>
      </c>
      <c r="K7" s="18" t="s">
        <v>37</v>
      </c>
      <c r="L7" s="20">
        <v>2500</v>
      </c>
      <c r="M7" s="19">
        <f t="shared" si="0"/>
        <v>3</v>
      </c>
      <c r="N7" s="21">
        <f t="shared" si="1"/>
        <v>125</v>
      </c>
      <c r="O7" s="18">
        <v>124</v>
      </c>
      <c r="P7" s="22" t="s">
        <v>30</v>
      </c>
      <c r="Q7" s="23">
        <f t="shared" si="2"/>
        <v>0</v>
      </c>
      <c r="R7" s="24"/>
      <c r="S7" s="25">
        <f t="shared" si="3"/>
        <v>-1</v>
      </c>
      <c r="T7" s="26"/>
      <c r="U7" s="9"/>
      <c r="V7" s="9"/>
      <c r="W7" s="9"/>
      <c r="X7" s="9"/>
      <c r="Y7" s="9"/>
      <c r="Z7" s="9"/>
      <c r="AA7" s="9"/>
      <c r="AB7" s="9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</row>
    <row r="8" spans="1:56" ht="49.2" customHeight="1" x14ac:dyDescent="0.3">
      <c r="A8" s="15">
        <v>3</v>
      </c>
      <c r="B8" s="16" t="s">
        <v>22</v>
      </c>
      <c r="C8" s="16">
        <v>250689</v>
      </c>
      <c r="D8" s="16" t="s">
        <v>38</v>
      </c>
      <c r="E8" s="16" t="s">
        <v>39</v>
      </c>
      <c r="F8" s="16" t="s">
        <v>40</v>
      </c>
      <c r="G8" s="17" t="s">
        <v>41</v>
      </c>
      <c r="H8" s="18">
        <v>7</v>
      </c>
      <c r="I8" s="27" t="s">
        <v>42</v>
      </c>
      <c r="J8" s="27" t="s">
        <v>43</v>
      </c>
      <c r="K8" s="18" t="s">
        <v>44</v>
      </c>
      <c r="L8" s="20">
        <v>2500</v>
      </c>
      <c r="M8" s="19">
        <f t="shared" si="0"/>
        <v>7</v>
      </c>
      <c r="N8" s="21">
        <f t="shared" si="1"/>
        <v>291.66666666666663</v>
      </c>
      <c r="O8" s="18">
        <v>292</v>
      </c>
      <c r="P8" s="22" t="s">
        <v>30</v>
      </c>
      <c r="Q8" s="23">
        <f t="shared" si="2"/>
        <v>0</v>
      </c>
      <c r="R8" s="24"/>
      <c r="S8" s="25">
        <f t="shared" si="3"/>
        <v>0.33333333333337123</v>
      </c>
      <c r="T8" s="26"/>
      <c r="U8" s="9"/>
      <c r="V8" s="9"/>
      <c r="W8" s="9"/>
      <c r="X8" s="9"/>
      <c r="Y8" s="9"/>
      <c r="Z8" s="9"/>
      <c r="AA8" s="9"/>
      <c r="AB8" s="9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</row>
    <row r="9" spans="1:56" ht="27.6" x14ac:dyDescent="0.3">
      <c r="A9" s="15">
        <v>4</v>
      </c>
      <c r="B9" s="16" t="s">
        <v>22</v>
      </c>
      <c r="C9" s="16">
        <v>250705</v>
      </c>
      <c r="D9" s="16" t="s">
        <v>45</v>
      </c>
      <c r="E9" s="16" t="s">
        <v>46</v>
      </c>
      <c r="F9" s="16" t="s">
        <v>47</v>
      </c>
      <c r="G9" s="17" t="s">
        <v>26</v>
      </c>
      <c r="H9" s="18">
        <v>5</v>
      </c>
      <c r="I9" s="19" t="s">
        <v>42</v>
      </c>
      <c r="J9" s="19" t="s">
        <v>48</v>
      </c>
      <c r="K9" s="18" t="s">
        <v>29</v>
      </c>
      <c r="L9" s="20">
        <v>2500</v>
      </c>
      <c r="M9" s="19">
        <f t="shared" si="0"/>
        <v>5</v>
      </c>
      <c r="N9" s="21">
        <f t="shared" si="1"/>
        <v>208.33333333333331</v>
      </c>
      <c r="O9" s="18">
        <v>209</v>
      </c>
      <c r="P9" s="22" t="s">
        <v>49</v>
      </c>
      <c r="Q9" s="23">
        <f t="shared" si="2"/>
        <v>0</v>
      </c>
      <c r="R9" s="24"/>
      <c r="S9" s="25">
        <f t="shared" si="3"/>
        <v>0.66666666666668561</v>
      </c>
      <c r="T9" s="26"/>
      <c r="U9" s="9"/>
      <c r="V9" s="9"/>
      <c r="W9" s="9"/>
      <c r="X9" s="9"/>
      <c r="Y9" s="9"/>
      <c r="Z9" s="9"/>
      <c r="AA9" s="9"/>
      <c r="AB9" s="9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</row>
    <row r="10" spans="1:56" ht="27.6" x14ac:dyDescent="0.3">
      <c r="A10" s="15">
        <v>5</v>
      </c>
      <c r="B10" s="16" t="s">
        <v>22</v>
      </c>
      <c r="C10" s="16">
        <v>250706</v>
      </c>
      <c r="D10" s="16" t="s">
        <v>50</v>
      </c>
      <c r="E10" s="16" t="s">
        <v>51</v>
      </c>
      <c r="F10" s="16" t="s">
        <v>52</v>
      </c>
      <c r="G10" s="17" t="s">
        <v>26</v>
      </c>
      <c r="H10" s="18">
        <v>5</v>
      </c>
      <c r="I10" s="19" t="s">
        <v>42</v>
      </c>
      <c r="J10" s="19" t="s">
        <v>48</v>
      </c>
      <c r="K10" s="18" t="s">
        <v>29</v>
      </c>
      <c r="L10" s="20">
        <v>2500</v>
      </c>
      <c r="M10" s="19">
        <f t="shared" si="0"/>
        <v>5</v>
      </c>
      <c r="N10" s="21">
        <f t="shared" si="1"/>
        <v>208.33333333333331</v>
      </c>
      <c r="O10" s="18">
        <v>209</v>
      </c>
      <c r="P10" s="22" t="s">
        <v>53</v>
      </c>
      <c r="Q10" s="23">
        <f t="shared" si="2"/>
        <v>0</v>
      </c>
      <c r="R10" s="24"/>
      <c r="S10" s="25">
        <f t="shared" si="3"/>
        <v>0.66666666666668561</v>
      </c>
      <c r="T10" s="26"/>
      <c r="U10" s="9"/>
      <c r="V10" s="9"/>
      <c r="W10" s="9"/>
      <c r="X10" s="9"/>
      <c r="Y10" s="9"/>
      <c r="Z10" s="9"/>
      <c r="AA10" s="9"/>
      <c r="AB10" s="9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</row>
    <row r="11" spans="1:56" ht="31.2" customHeight="1" x14ac:dyDescent="0.3">
      <c r="A11" s="15">
        <v>6</v>
      </c>
      <c r="B11" s="16" t="s">
        <v>22</v>
      </c>
      <c r="C11" s="16">
        <v>250706</v>
      </c>
      <c r="D11" s="16" t="s">
        <v>50</v>
      </c>
      <c r="E11" s="16" t="s">
        <v>51</v>
      </c>
      <c r="F11" s="16" t="s">
        <v>52</v>
      </c>
      <c r="G11" s="17" t="s">
        <v>34</v>
      </c>
      <c r="H11" s="18">
        <v>3</v>
      </c>
      <c r="I11" s="19" t="s">
        <v>35</v>
      </c>
      <c r="J11" s="19" t="s">
        <v>36</v>
      </c>
      <c r="K11" s="18" t="s">
        <v>37</v>
      </c>
      <c r="L11" s="20">
        <v>2500</v>
      </c>
      <c r="M11" s="19">
        <f t="shared" si="0"/>
        <v>3</v>
      </c>
      <c r="N11" s="21">
        <f t="shared" si="1"/>
        <v>125</v>
      </c>
      <c r="O11" s="18">
        <v>125</v>
      </c>
      <c r="P11" s="22" t="s">
        <v>53</v>
      </c>
      <c r="Q11" s="23">
        <f t="shared" si="2"/>
        <v>0</v>
      </c>
      <c r="R11" s="24"/>
      <c r="S11" s="25">
        <f t="shared" si="3"/>
        <v>0</v>
      </c>
      <c r="T11" s="26"/>
      <c r="U11" s="9"/>
      <c r="V11" s="9"/>
      <c r="W11" s="9"/>
      <c r="X11" s="9"/>
      <c r="Y11" s="9"/>
      <c r="Z11" s="9"/>
      <c r="AA11" s="9"/>
      <c r="AB11" s="9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</row>
    <row r="12" spans="1:56" ht="27.6" x14ac:dyDescent="0.3">
      <c r="A12" s="15">
        <v>7</v>
      </c>
      <c r="B12" s="16" t="s">
        <v>22</v>
      </c>
      <c r="C12" s="16">
        <v>250682</v>
      </c>
      <c r="D12" s="16" t="s">
        <v>54</v>
      </c>
      <c r="E12" s="16" t="s">
        <v>55</v>
      </c>
      <c r="F12" s="16" t="s">
        <v>56</v>
      </c>
      <c r="G12" s="17" t="s">
        <v>26</v>
      </c>
      <c r="H12" s="18">
        <v>5</v>
      </c>
      <c r="I12" s="19" t="s">
        <v>42</v>
      </c>
      <c r="J12" s="19" t="s">
        <v>48</v>
      </c>
      <c r="K12" s="18" t="s">
        <v>29</v>
      </c>
      <c r="L12" s="20">
        <v>2500</v>
      </c>
      <c r="M12" s="19">
        <f t="shared" si="0"/>
        <v>5</v>
      </c>
      <c r="N12" s="21">
        <f t="shared" si="1"/>
        <v>208.33333333333331</v>
      </c>
      <c r="O12" s="18">
        <v>210</v>
      </c>
      <c r="P12" s="22" t="s">
        <v>57</v>
      </c>
      <c r="Q12" s="23">
        <f t="shared" si="2"/>
        <v>0</v>
      </c>
      <c r="R12" s="24"/>
      <c r="S12" s="25">
        <f t="shared" si="3"/>
        <v>1.6666666666666856</v>
      </c>
      <c r="T12" s="26"/>
      <c r="U12" s="9"/>
      <c r="V12" s="9"/>
      <c r="W12" s="9"/>
      <c r="X12" s="9"/>
      <c r="Y12" s="9"/>
      <c r="Z12" s="9"/>
      <c r="AA12" s="9"/>
      <c r="AB12" s="9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</row>
    <row r="13" spans="1:56" ht="27.6" x14ac:dyDescent="0.3">
      <c r="A13" s="15">
        <v>8</v>
      </c>
      <c r="B13" s="16" t="s">
        <v>58</v>
      </c>
      <c r="C13" s="16">
        <v>250749</v>
      </c>
      <c r="D13" s="16" t="s">
        <v>59</v>
      </c>
      <c r="E13" s="16" t="s">
        <v>60</v>
      </c>
      <c r="F13" s="16" t="s">
        <v>61</v>
      </c>
      <c r="G13" s="17" t="s">
        <v>26</v>
      </c>
      <c r="H13" s="18">
        <v>5</v>
      </c>
      <c r="I13" s="19" t="s">
        <v>42</v>
      </c>
      <c r="J13" s="19" t="s">
        <v>62</v>
      </c>
      <c r="K13" s="18" t="s">
        <v>29</v>
      </c>
      <c r="L13" s="20">
        <v>2500</v>
      </c>
      <c r="M13" s="19">
        <f t="shared" si="0"/>
        <v>5</v>
      </c>
      <c r="N13" s="21">
        <f t="shared" si="1"/>
        <v>208.33333333333331</v>
      </c>
      <c r="O13" s="18">
        <v>209</v>
      </c>
      <c r="P13" s="22" t="s">
        <v>63</v>
      </c>
      <c r="Q13" s="23">
        <f t="shared" si="2"/>
        <v>0</v>
      </c>
      <c r="R13" s="24"/>
      <c r="S13" s="25">
        <f t="shared" si="3"/>
        <v>0.66666666666668561</v>
      </c>
      <c r="T13" s="26"/>
      <c r="U13" s="9"/>
      <c r="V13" s="9"/>
      <c r="W13" s="9"/>
      <c r="X13" s="9"/>
      <c r="Y13" s="9"/>
      <c r="Z13" s="9"/>
      <c r="AA13" s="9"/>
      <c r="AB13" s="9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</row>
    <row r="14" spans="1:56" ht="37.200000000000003" customHeight="1" x14ac:dyDescent="0.3">
      <c r="A14" s="15">
        <v>9</v>
      </c>
      <c r="B14" s="16" t="s">
        <v>58</v>
      </c>
      <c r="C14" s="16">
        <v>250728</v>
      </c>
      <c r="D14" s="16" t="s">
        <v>64</v>
      </c>
      <c r="E14" s="16" t="s">
        <v>65</v>
      </c>
      <c r="F14" s="16" t="s">
        <v>66</v>
      </c>
      <c r="G14" s="17" t="s">
        <v>34</v>
      </c>
      <c r="H14" s="18">
        <v>3</v>
      </c>
      <c r="I14" s="19" t="s">
        <v>35</v>
      </c>
      <c r="J14" s="19" t="s">
        <v>36</v>
      </c>
      <c r="K14" s="18" t="s">
        <v>37</v>
      </c>
      <c r="L14" s="20">
        <v>2500</v>
      </c>
      <c r="M14" s="19">
        <f t="shared" si="0"/>
        <v>3</v>
      </c>
      <c r="N14" s="21">
        <f t="shared" si="1"/>
        <v>125</v>
      </c>
      <c r="O14" s="18">
        <v>125</v>
      </c>
      <c r="P14" s="22" t="s">
        <v>67</v>
      </c>
      <c r="Q14" s="23">
        <f t="shared" si="2"/>
        <v>0</v>
      </c>
      <c r="R14" s="24"/>
      <c r="S14" s="25">
        <f t="shared" si="3"/>
        <v>0</v>
      </c>
      <c r="T14" s="26"/>
      <c r="U14" s="9"/>
      <c r="V14" s="9"/>
      <c r="W14" s="9"/>
      <c r="X14" s="9"/>
      <c r="Y14" s="9"/>
      <c r="Z14" s="9"/>
      <c r="AA14" s="9"/>
      <c r="AB14" s="9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</row>
    <row r="15" spans="1:56" ht="42" customHeight="1" x14ac:dyDescent="0.3">
      <c r="A15" s="15">
        <v>10</v>
      </c>
      <c r="B15" s="16" t="s">
        <v>58</v>
      </c>
      <c r="C15" s="16">
        <v>250728</v>
      </c>
      <c r="D15" s="16" t="s">
        <v>64</v>
      </c>
      <c r="E15" s="16" t="s">
        <v>65</v>
      </c>
      <c r="F15" s="16" t="s">
        <v>66</v>
      </c>
      <c r="G15" s="17" t="s">
        <v>41</v>
      </c>
      <c r="H15" s="18">
        <v>7</v>
      </c>
      <c r="I15" s="27" t="s">
        <v>42</v>
      </c>
      <c r="J15" s="27" t="s">
        <v>68</v>
      </c>
      <c r="K15" s="18" t="s">
        <v>44</v>
      </c>
      <c r="L15" s="20">
        <v>2500</v>
      </c>
      <c r="M15" s="19">
        <f t="shared" si="0"/>
        <v>7</v>
      </c>
      <c r="N15" s="21">
        <f t="shared" si="1"/>
        <v>291.66666666666663</v>
      </c>
      <c r="O15" s="18">
        <v>292</v>
      </c>
      <c r="P15" s="22" t="s">
        <v>67</v>
      </c>
      <c r="Q15" s="23">
        <f t="shared" si="2"/>
        <v>0</v>
      </c>
      <c r="R15" s="24"/>
      <c r="S15" s="25">
        <f t="shared" si="3"/>
        <v>0.33333333333337123</v>
      </c>
      <c r="T15" s="26"/>
      <c r="U15" s="9"/>
      <c r="V15" s="9"/>
      <c r="W15" s="9"/>
      <c r="X15" s="9"/>
      <c r="Y15" s="9"/>
      <c r="Z15" s="9"/>
      <c r="AA15" s="9"/>
      <c r="AB15" s="9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</row>
    <row r="16" spans="1:56" ht="41.4" customHeight="1" x14ac:dyDescent="0.3">
      <c r="A16" s="15">
        <v>11</v>
      </c>
      <c r="B16" s="16" t="s">
        <v>69</v>
      </c>
      <c r="C16" s="16">
        <v>250765</v>
      </c>
      <c r="D16" s="16" t="s">
        <v>70</v>
      </c>
      <c r="E16" s="16" t="s">
        <v>71</v>
      </c>
      <c r="F16" s="16" t="s">
        <v>47</v>
      </c>
      <c r="G16" s="17" t="s">
        <v>72</v>
      </c>
      <c r="H16" s="18">
        <v>6</v>
      </c>
      <c r="I16" s="19" t="s">
        <v>42</v>
      </c>
      <c r="J16" s="19" t="s">
        <v>62</v>
      </c>
      <c r="K16" s="26" t="s">
        <v>44</v>
      </c>
      <c r="L16" s="20">
        <v>2500</v>
      </c>
      <c r="M16" s="19">
        <f t="shared" si="0"/>
        <v>6</v>
      </c>
      <c r="N16" s="21">
        <f t="shared" si="1"/>
        <v>250</v>
      </c>
      <c r="O16" s="18">
        <v>250</v>
      </c>
      <c r="P16" s="22" t="s">
        <v>73</v>
      </c>
      <c r="Q16" s="23">
        <f t="shared" si="2"/>
        <v>0</v>
      </c>
      <c r="R16" s="24"/>
      <c r="S16" s="25">
        <f t="shared" si="3"/>
        <v>0</v>
      </c>
      <c r="T16" s="26"/>
      <c r="U16" s="9"/>
      <c r="V16" s="9"/>
      <c r="W16" s="9"/>
      <c r="X16" s="9"/>
      <c r="Y16" s="9"/>
      <c r="Z16" s="9"/>
      <c r="AA16" s="9"/>
      <c r="AB16" s="9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</row>
    <row r="17" spans="1:56" ht="36.6" customHeight="1" x14ac:dyDescent="0.3">
      <c r="A17" s="15">
        <v>12</v>
      </c>
      <c r="B17" s="16" t="s">
        <v>74</v>
      </c>
      <c r="C17" s="16">
        <v>250804</v>
      </c>
      <c r="D17" s="16" t="s">
        <v>75</v>
      </c>
      <c r="E17" s="16" t="s">
        <v>66</v>
      </c>
      <c r="F17" s="16" t="s">
        <v>76</v>
      </c>
      <c r="G17" s="17" t="s">
        <v>72</v>
      </c>
      <c r="H17" s="18">
        <v>6</v>
      </c>
      <c r="I17" s="19" t="s">
        <v>77</v>
      </c>
      <c r="J17" s="19" t="s">
        <v>78</v>
      </c>
      <c r="K17" s="26" t="s">
        <v>44</v>
      </c>
      <c r="L17" s="20">
        <v>2500</v>
      </c>
      <c r="M17" s="19">
        <f t="shared" si="0"/>
        <v>6</v>
      </c>
      <c r="N17" s="21">
        <f t="shared" si="1"/>
        <v>250</v>
      </c>
      <c r="O17" s="18">
        <v>254</v>
      </c>
      <c r="P17" s="22" t="s">
        <v>79</v>
      </c>
      <c r="Q17" s="23">
        <f t="shared" si="2"/>
        <v>0</v>
      </c>
      <c r="R17" s="24"/>
      <c r="S17" s="25">
        <f t="shared" si="3"/>
        <v>4</v>
      </c>
      <c r="T17" s="26"/>
      <c r="U17" s="9"/>
      <c r="V17" s="9"/>
      <c r="W17" s="9"/>
      <c r="X17" s="9"/>
      <c r="Y17" s="9"/>
      <c r="Z17" s="9"/>
      <c r="AA17" s="9"/>
      <c r="AB17" s="9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</row>
    <row r="18" spans="1:56" ht="27.6" x14ac:dyDescent="0.3">
      <c r="A18" s="15">
        <v>13</v>
      </c>
      <c r="B18" s="16" t="s">
        <v>74</v>
      </c>
      <c r="C18" s="16">
        <v>250799</v>
      </c>
      <c r="D18" s="16" t="s">
        <v>80</v>
      </c>
      <c r="E18" s="16" t="s">
        <v>81</v>
      </c>
      <c r="F18" s="16" t="s">
        <v>82</v>
      </c>
      <c r="G18" s="17" t="s">
        <v>26</v>
      </c>
      <c r="H18" s="18">
        <v>5</v>
      </c>
      <c r="I18" s="19" t="s">
        <v>77</v>
      </c>
      <c r="J18" s="19" t="s">
        <v>78</v>
      </c>
      <c r="K18" s="18" t="s">
        <v>29</v>
      </c>
      <c r="L18" s="20">
        <v>2500</v>
      </c>
      <c r="M18" s="19">
        <f t="shared" si="0"/>
        <v>5</v>
      </c>
      <c r="N18" s="21">
        <f t="shared" si="1"/>
        <v>208.33333333333331</v>
      </c>
      <c r="O18" s="18">
        <v>208</v>
      </c>
      <c r="P18" s="22" t="s">
        <v>83</v>
      </c>
      <c r="Q18" s="23">
        <f t="shared" si="2"/>
        <v>0</v>
      </c>
      <c r="R18" s="24"/>
      <c r="S18" s="25">
        <f t="shared" si="3"/>
        <v>-0.33333333333331439</v>
      </c>
      <c r="T18" s="26"/>
      <c r="U18" s="9"/>
      <c r="V18" s="9"/>
      <c r="W18" s="9"/>
      <c r="X18" s="9"/>
      <c r="Y18" s="9"/>
      <c r="Z18" s="9"/>
      <c r="AA18" s="9"/>
      <c r="AB18" s="9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</row>
    <row r="19" spans="1:56" ht="43.2" customHeight="1" x14ac:dyDescent="0.3">
      <c r="A19" s="15">
        <v>14</v>
      </c>
      <c r="B19" s="16" t="s">
        <v>84</v>
      </c>
      <c r="C19" s="16">
        <v>250834</v>
      </c>
      <c r="D19" s="16" t="s">
        <v>85</v>
      </c>
      <c r="E19" s="16" t="s">
        <v>86</v>
      </c>
      <c r="F19" s="16" t="s">
        <v>87</v>
      </c>
      <c r="G19" s="17" t="s">
        <v>41</v>
      </c>
      <c r="H19" s="18">
        <v>7</v>
      </c>
      <c r="I19" s="27" t="s">
        <v>88</v>
      </c>
      <c r="J19" s="27" t="s">
        <v>89</v>
      </c>
      <c r="K19" s="19" t="s">
        <v>44</v>
      </c>
      <c r="L19" s="20">
        <v>2500</v>
      </c>
      <c r="M19" s="19">
        <f t="shared" si="0"/>
        <v>7</v>
      </c>
      <c r="N19" s="21">
        <f t="shared" si="1"/>
        <v>291.66666666666663</v>
      </c>
      <c r="O19" s="18">
        <v>293</v>
      </c>
      <c r="P19" s="22" t="s">
        <v>53</v>
      </c>
      <c r="Q19" s="23">
        <f t="shared" si="2"/>
        <v>0</v>
      </c>
      <c r="R19" s="24"/>
      <c r="S19" s="25">
        <f t="shared" si="3"/>
        <v>1.3333333333333712</v>
      </c>
      <c r="T19" s="26"/>
      <c r="U19" s="9"/>
      <c r="V19" s="9"/>
      <c r="W19" s="9"/>
      <c r="X19" s="9"/>
      <c r="Y19" s="9"/>
      <c r="Z19" s="9"/>
      <c r="AA19" s="9"/>
      <c r="AB19" s="9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</row>
    <row r="20" spans="1:56" ht="27.6" x14ac:dyDescent="0.3">
      <c r="A20" s="15">
        <v>15</v>
      </c>
      <c r="B20" s="16" t="s">
        <v>84</v>
      </c>
      <c r="C20" s="16">
        <v>250839</v>
      </c>
      <c r="D20" s="16" t="s">
        <v>90</v>
      </c>
      <c r="E20" s="16" t="s">
        <v>81</v>
      </c>
      <c r="F20" s="16" t="s">
        <v>91</v>
      </c>
      <c r="G20" s="17" t="s">
        <v>26</v>
      </c>
      <c r="H20" s="18">
        <v>5</v>
      </c>
      <c r="I20" s="19" t="s">
        <v>88</v>
      </c>
      <c r="J20" s="19" t="s">
        <v>92</v>
      </c>
      <c r="K20" s="18" t="s">
        <v>29</v>
      </c>
      <c r="L20" s="20">
        <v>2500</v>
      </c>
      <c r="M20" s="19">
        <f t="shared" si="0"/>
        <v>5</v>
      </c>
      <c r="N20" s="21">
        <f t="shared" si="1"/>
        <v>208.33333333333331</v>
      </c>
      <c r="O20" s="18">
        <v>209</v>
      </c>
      <c r="P20" s="22" t="s">
        <v>63</v>
      </c>
      <c r="Q20" s="23">
        <f t="shared" si="2"/>
        <v>0</v>
      </c>
      <c r="R20" s="24"/>
      <c r="S20" s="25">
        <f t="shared" si="3"/>
        <v>0.66666666666668561</v>
      </c>
      <c r="T20" s="26"/>
      <c r="U20" s="9"/>
      <c r="V20" s="9"/>
      <c r="W20" s="9"/>
      <c r="X20" s="9"/>
      <c r="Y20" s="9"/>
      <c r="Z20" s="9"/>
      <c r="AA20" s="9"/>
      <c r="AB20" s="9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</row>
    <row r="21" spans="1:56" ht="39.6" customHeight="1" x14ac:dyDescent="0.3">
      <c r="A21" s="15">
        <v>16</v>
      </c>
      <c r="B21" s="16" t="s">
        <v>84</v>
      </c>
      <c r="C21" s="16">
        <v>250839</v>
      </c>
      <c r="D21" s="16" t="s">
        <v>90</v>
      </c>
      <c r="E21" s="16" t="s">
        <v>81</v>
      </c>
      <c r="F21" s="16" t="s">
        <v>91</v>
      </c>
      <c r="G21" s="17" t="s">
        <v>34</v>
      </c>
      <c r="H21" s="18">
        <v>3</v>
      </c>
      <c r="I21" s="19" t="s">
        <v>93</v>
      </c>
      <c r="J21" s="19" t="s">
        <v>94</v>
      </c>
      <c r="K21" s="18" t="s">
        <v>37</v>
      </c>
      <c r="L21" s="20">
        <v>2500</v>
      </c>
      <c r="M21" s="19">
        <f t="shared" si="0"/>
        <v>3</v>
      </c>
      <c r="N21" s="21">
        <f t="shared" si="1"/>
        <v>125</v>
      </c>
      <c r="O21" s="18">
        <v>125</v>
      </c>
      <c r="P21" s="22" t="s">
        <v>95</v>
      </c>
      <c r="Q21" s="23">
        <f t="shared" si="2"/>
        <v>0</v>
      </c>
      <c r="R21" s="24"/>
      <c r="S21" s="25">
        <f t="shared" si="3"/>
        <v>0</v>
      </c>
      <c r="T21" s="26"/>
      <c r="U21" s="9"/>
      <c r="V21" s="9"/>
      <c r="W21" s="9"/>
      <c r="X21" s="9"/>
      <c r="Y21" s="9"/>
      <c r="Z21" s="9"/>
      <c r="AA21" s="9"/>
      <c r="AB21" s="9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</row>
    <row r="22" spans="1:56" ht="33.6" customHeight="1" x14ac:dyDescent="0.3">
      <c r="A22" s="15">
        <v>17</v>
      </c>
      <c r="B22" s="16" t="s">
        <v>96</v>
      </c>
      <c r="C22" s="16">
        <v>250843</v>
      </c>
      <c r="D22" s="16" t="s">
        <v>97</v>
      </c>
      <c r="E22" s="16" t="s">
        <v>98</v>
      </c>
      <c r="F22" s="16" t="s">
        <v>99</v>
      </c>
      <c r="G22" s="17" t="s">
        <v>100</v>
      </c>
      <c r="H22" s="18">
        <v>3</v>
      </c>
      <c r="I22" s="19" t="s">
        <v>93</v>
      </c>
      <c r="J22" s="19" t="s">
        <v>94</v>
      </c>
      <c r="K22" s="18" t="s">
        <v>37</v>
      </c>
      <c r="L22" s="20">
        <v>2500</v>
      </c>
      <c r="M22" s="19">
        <f t="shared" si="0"/>
        <v>3</v>
      </c>
      <c r="N22" s="21">
        <f t="shared" si="1"/>
        <v>125</v>
      </c>
      <c r="O22" s="18">
        <v>125</v>
      </c>
      <c r="P22" s="22" t="s">
        <v>101</v>
      </c>
      <c r="Q22" s="23">
        <f t="shared" si="2"/>
        <v>0</v>
      </c>
      <c r="R22" s="24"/>
      <c r="S22" s="25">
        <f t="shared" si="3"/>
        <v>0</v>
      </c>
      <c r="T22" s="26"/>
      <c r="U22" s="9"/>
      <c r="V22" s="9"/>
      <c r="W22" s="9"/>
      <c r="X22" s="9"/>
      <c r="Y22" s="9"/>
      <c r="Z22" s="9"/>
      <c r="AA22" s="9"/>
      <c r="AB22" s="9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</row>
    <row r="23" spans="1:56" ht="46.8" customHeight="1" x14ac:dyDescent="0.3">
      <c r="A23" s="15">
        <v>18</v>
      </c>
      <c r="B23" s="16" t="s">
        <v>102</v>
      </c>
      <c r="C23" s="16">
        <v>250893</v>
      </c>
      <c r="D23" s="16" t="s">
        <v>103</v>
      </c>
      <c r="E23" s="16" t="s">
        <v>104</v>
      </c>
      <c r="F23" s="16" t="s">
        <v>105</v>
      </c>
      <c r="G23" s="17" t="s">
        <v>41</v>
      </c>
      <c r="H23" s="18">
        <v>7</v>
      </c>
      <c r="I23" s="27" t="s">
        <v>106</v>
      </c>
      <c r="J23" s="27" t="s">
        <v>107</v>
      </c>
      <c r="K23" s="18" t="s">
        <v>44</v>
      </c>
      <c r="L23" s="20">
        <v>2500</v>
      </c>
      <c r="M23" s="19">
        <f t="shared" si="0"/>
        <v>7</v>
      </c>
      <c r="N23" s="21">
        <f t="shared" si="1"/>
        <v>291.66666666666663</v>
      </c>
      <c r="O23" s="18">
        <v>294</v>
      </c>
      <c r="P23" s="22" t="s">
        <v>83</v>
      </c>
      <c r="Q23" s="23">
        <f t="shared" si="2"/>
        <v>0</v>
      </c>
      <c r="R23" s="24"/>
      <c r="S23" s="25">
        <f t="shared" si="3"/>
        <v>2.3333333333333712</v>
      </c>
      <c r="T23" s="26"/>
      <c r="U23" s="9"/>
      <c r="V23" s="9"/>
      <c r="W23" s="9"/>
      <c r="X23" s="9"/>
      <c r="Y23" s="9"/>
      <c r="Z23" s="9"/>
      <c r="AA23" s="9"/>
      <c r="AB23" s="9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</row>
    <row r="24" spans="1:56" ht="42" customHeight="1" x14ac:dyDescent="0.3">
      <c r="A24" s="15">
        <v>19</v>
      </c>
      <c r="B24" s="16" t="s">
        <v>102</v>
      </c>
      <c r="C24" s="16">
        <v>250896</v>
      </c>
      <c r="D24" s="16" t="s">
        <v>108</v>
      </c>
      <c r="E24" s="16" t="s">
        <v>109</v>
      </c>
      <c r="F24" s="16" t="s">
        <v>46</v>
      </c>
      <c r="G24" s="17" t="s">
        <v>41</v>
      </c>
      <c r="H24" s="18">
        <v>7</v>
      </c>
      <c r="I24" s="27" t="s">
        <v>106</v>
      </c>
      <c r="J24" s="27" t="s">
        <v>110</v>
      </c>
      <c r="K24" s="26" t="s">
        <v>44</v>
      </c>
      <c r="L24" s="20">
        <v>2500</v>
      </c>
      <c r="M24" s="19">
        <f t="shared" si="0"/>
        <v>7</v>
      </c>
      <c r="N24" s="21">
        <f t="shared" si="1"/>
        <v>291.66666666666663</v>
      </c>
      <c r="O24" s="18">
        <v>294</v>
      </c>
      <c r="P24" s="22" t="s">
        <v>83</v>
      </c>
      <c r="Q24" s="23">
        <f t="shared" si="2"/>
        <v>0</v>
      </c>
      <c r="R24" s="24"/>
      <c r="S24" s="25">
        <f t="shared" si="3"/>
        <v>2.3333333333333712</v>
      </c>
      <c r="T24" s="26"/>
      <c r="U24" s="9"/>
      <c r="V24" s="9"/>
      <c r="W24" s="9"/>
      <c r="X24" s="9"/>
      <c r="Y24" s="9"/>
      <c r="Z24" s="9"/>
      <c r="AA24" s="9"/>
      <c r="AB24" s="9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</row>
    <row r="25" spans="1:56" ht="39" customHeight="1" x14ac:dyDescent="0.3">
      <c r="A25" s="15">
        <v>20</v>
      </c>
      <c r="B25" s="16" t="s">
        <v>102</v>
      </c>
      <c r="C25" s="16">
        <v>250882</v>
      </c>
      <c r="D25" s="16" t="s">
        <v>111</v>
      </c>
      <c r="E25" s="16" t="s">
        <v>51</v>
      </c>
      <c r="F25" s="16" t="s">
        <v>112</v>
      </c>
      <c r="G25" s="17" t="s">
        <v>72</v>
      </c>
      <c r="H25" s="18">
        <v>6</v>
      </c>
      <c r="I25" s="19" t="s">
        <v>106</v>
      </c>
      <c r="J25" s="19" t="s">
        <v>113</v>
      </c>
      <c r="K25" s="26" t="s">
        <v>44</v>
      </c>
      <c r="L25" s="20">
        <v>2500</v>
      </c>
      <c r="M25" s="19">
        <f t="shared" si="0"/>
        <v>6</v>
      </c>
      <c r="N25" s="21">
        <f t="shared" si="1"/>
        <v>250</v>
      </c>
      <c r="O25" s="18">
        <v>250</v>
      </c>
      <c r="P25" s="22" t="s">
        <v>114</v>
      </c>
      <c r="Q25" s="23">
        <f t="shared" si="2"/>
        <v>0</v>
      </c>
      <c r="R25" s="24"/>
      <c r="S25" s="25">
        <f t="shared" si="3"/>
        <v>0</v>
      </c>
      <c r="T25" s="26"/>
      <c r="U25" s="9"/>
      <c r="V25" s="9"/>
      <c r="W25" s="9"/>
      <c r="X25" s="9"/>
      <c r="Y25" s="9"/>
      <c r="Z25" s="9"/>
      <c r="AA25" s="9"/>
      <c r="AB25" s="9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</row>
    <row r="26" spans="1:56" ht="44.4" customHeight="1" x14ac:dyDescent="0.3">
      <c r="A26" s="15">
        <v>21</v>
      </c>
      <c r="B26" s="16" t="s">
        <v>102</v>
      </c>
      <c r="C26" s="16">
        <v>250883</v>
      </c>
      <c r="D26" s="16" t="s">
        <v>115</v>
      </c>
      <c r="E26" s="16" t="s">
        <v>71</v>
      </c>
      <c r="F26" s="16" t="s">
        <v>116</v>
      </c>
      <c r="G26" s="17" t="s">
        <v>41</v>
      </c>
      <c r="H26" s="18">
        <v>7</v>
      </c>
      <c r="I26" s="27" t="s">
        <v>106</v>
      </c>
      <c r="J26" s="27" t="s">
        <v>113</v>
      </c>
      <c r="K26" s="26" t="s">
        <v>44</v>
      </c>
      <c r="L26" s="20">
        <v>2500</v>
      </c>
      <c r="M26" s="19">
        <f t="shared" si="0"/>
        <v>7</v>
      </c>
      <c r="N26" s="21">
        <f t="shared" si="1"/>
        <v>291.66666666666663</v>
      </c>
      <c r="O26" s="18">
        <v>292</v>
      </c>
      <c r="P26" s="22" t="s">
        <v>117</v>
      </c>
      <c r="Q26" s="23">
        <f t="shared" si="2"/>
        <v>0</v>
      </c>
      <c r="R26" s="24"/>
      <c r="S26" s="25">
        <f t="shared" si="3"/>
        <v>0.33333333333337123</v>
      </c>
      <c r="T26" s="26"/>
      <c r="U26" s="9"/>
      <c r="V26" s="9"/>
      <c r="W26" s="9"/>
      <c r="X26" s="9"/>
      <c r="Y26" s="9"/>
      <c r="Z26" s="9"/>
      <c r="AA26" s="9"/>
      <c r="AB26" s="9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</row>
    <row r="27" spans="1:56" ht="27.6" x14ac:dyDescent="0.3">
      <c r="A27" s="15">
        <v>22</v>
      </c>
      <c r="B27" s="16" t="s">
        <v>118</v>
      </c>
      <c r="C27" s="16">
        <v>250715</v>
      </c>
      <c r="D27" s="16" t="s">
        <v>119</v>
      </c>
      <c r="E27" s="16" t="s">
        <v>120</v>
      </c>
      <c r="F27" s="16" t="s">
        <v>121</v>
      </c>
      <c r="G27" s="17" t="s">
        <v>26</v>
      </c>
      <c r="H27" s="18">
        <v>5</v>
      </c>
      <c r="I27" s="19" t="s">
        <v>122</v>
      </c>
      <c r="J27" s="19" t="s">
        <v>123</v>
      </c>
      <c r="K27" s="18" t="s">
        <v>29</v>
      </c>
      <c r="L27" s="20">
        <v>2500</v>
      </c>
      <c r="M27" s="19">
        <f t="shared" si="0"/>
        <v>5</v>
      </c>
      <c r="N27" s="21">
        <f t="shared" si="1"/>
        <v>208.33333333333331</v>
      </c>
      <c r="O27" s="18">
        <v>210</v>
      </c>
      <c r="P27" s="22" t="s">
        <v>124</v>
      </c>
      <c r="Q27" s="23">
        <f t="shared" si="2"/>
        <v>0</v>
      </c>
      <c r="R27" s="24"/>
      <c r="S27" s="25">
        <f t="shared" si="3"/>
        <v>1.6666666666666856</v>
      </c>
      <c r="T27" s="26"/>
      <c r="U27" s="9"/>
      <c r="V27" s="9"/>
      <c r="W27" s="9"/>
      <c r="X27" s="9"/>
      <c r="Y27" s="9"/>
      <c r="Z27" s="9"/>
      <c r="AA27" s="9"/>
      <c r="AB27" s="9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</row>
    <row r="28" spans="1:56" ht="39.6" customHeight="1" x14ac:dyDescent="0.3">
      <c r="A28" s="15">
        <v>23</v>
      </c>
      <c r="B28" s="16" t="s">
        <v>125</v>
      </c>
      <c r="C28" s="16">
        <v>251015</v>
      </c>
      <c r="D28" s="16" t="s">
        <v>126</v>
      </c>
      <c r="E28" s="16" t="s">
        <v>127</v>
      </c>
      <c r="F28" s="16" t="s">
        <v>128</v>
      </c>
      <c r="G28" s="17" t="s">
        <v>100</v>
      </c>
      <c r="H28" s="18">
        <v>3</v>
      </c>
      <c r="I28" s="19" t="s">
        <v>129</v>
      </c>
      <c r="J28" s="19" t="s">
        <v>130</v>
      </c>
      <c r="K28" s="18" t="s">
        <v>131</v>
      </c>
      <c r="L28" s="20">
        <v>2500</v>
      </c>
      <c r="M28" s="19">
        <f t="shared" si="0"/>
        <v>3</v>
      </c>
      <c r="N28" s="21">
        <f t="shared" si="1"/>
        <v>125</v>
      </c>
      <c r="O28" s="18">
        <v>125</v>
      </c>
      <c r="P28" s="22" t="s">
        <v>132</v>
      </c>
      <c r="Q28" s="23">
        <f t="shared" si="2"/>
        <v>0</v>
      </c>
      <c r="R28" s="24"/>
      <c r="S28" s="25">
        <f t="shared" si="3"/>
        <v>0</v>
      </c>
      <c r="T28" s="26"/>
      <c r="U28" s="9"/>
      <c r="V28" s="9"/>
      <c r="W28" s="9"/>
      <c r="X28" s="9"/>
      <c r="Y28" s="9"/>
      <c r="Z28" s="9"/>
      <c r="AA28" s="9"/>
      <c r="AB28" s="9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</row>
    <row r="29" spans="1:56" ht="27.6" x14ac:dyDescent="0.3">
      <c r="A29" s="15">
        <v>24</v>
      </c>
      <c r="B29" s="16" t="s">
        <v>125</v>
      </c>
      <c r="C29" s="16">
        <v>251015</v>
      </c>
      <c r="D29" s="16" t="s">
        <v>126</v>
      </c>
      <c r="E29" s="16" t="s">
        <v>127</v>
      </c>
      <c r="F29" s="16" t="s">
        <v>128</v>
      </c>
      <c r="G29" s="17" t="s">
        <v>26</v>
      </c>
      <c r="H29" s="18">
        <v>5</v>
      </c>
      <c r="I29" s="19" t="s">
        <v>133</v>
      </c>
      <c r="J29" s="19" t="s">
        <v>134</v>
      </c>
      <c r="K29" s="18" t="s">
        <v>135</v>
      </c>
      <c r="L29" s="20">
        <v>2500</v>
      </c>
      <c r="M29" s="19">
        <f t="shared" si="0"/>
        <v>5</v>
      </c>
      <c r="N29" s="21">
        <f t="shared" si="1"/>
        <v>208.33333333333331</v>
      </c>
      <c r="O29" s="18">
        <v>209</v>
      </c>
      <c r="P29" s="22" t="s">
        <v>132</v>
      </c>
      <c r="Q29" s="23">
        <f t="shared" si="2"/>
        <v>0</v>
      </c>
      <c r="R29" s="24"/>
      <c r="S29" s="25">
        <f t="shared" si="3"/>
        <v>0.66666666666668561</v>
      </c>
      <c r="T29" s="26"/>
      <c r="U29" s="9"/>
      <c r="V29" s="9"/>
      <c r="W29" s="9"/>
      <c r="X29" s="9"/>
      <c r="Y29" s="9"/>
      <c r="Z29" s="9"/>
      <c r="AA29" s="9"/>
      <c r="AB29" s="9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</row>
    <row r="30" spans="1:56" ht="27.6" x14ac:dyDescent="0.3">
      <c r="A30" s="15">
        <v>25</v>
      </c>
      <c r="B30" s="16" t="s">
        <v>125</v>
      </c>
      <c r="C30" s="16">
        <v>251022</v>
      </c>
      <c r="D30" s="16" t="s">
        <v>136</v>
      </c>
      <c r="E30" s="16" t="s">
        <v>137</v>
      </c>
      <c r="F30" s="16" t="s">
        <v>138</v>
      </c>
      <c r="G30" s="17" t="s">
        <v>26</v>
      </c>
      <c r="H30" s="18">
        <v>5</v>
      </c>
      <c r="I30" s="19" t="s">
        <v>133</v>
      </c>
      <c r="J30" s="19" t="s">
        <v>134</v>
      </c>
      <c r="K30" s="18" t="s">
        <v>135</v>
      </c>
      <c r="L30" s="20">
        <v>2500</v>
      </c>
      <c r="M30" s="19">
        <f t="shared" si="0"/>
        <v>5</v>
      </c>
      <c r="N30" s="21">
        <f t="shared" si="1"/>
        <v>208.33333333333331</v>
      </c>
      <c r="O30" s="18">
        <v>219</v>
      </c>
      <c r="P30" s="22" t="s">
        <v>139</v>
      </c>
      <c r="Q30" s="23">
        <f t="shared" si="2"/>
        <v>0</v>
      </c>
      <c r="R30" s="24"/>
      <c r="S30" s="25">
        <f t="shared" si="3"/>
        <v>10.666666666666686</v>
      </c>
      <c r="T30" s="26"/>
      <c r="U30" s="9"/>
      <c r="V30" s="9"/>
      <c r="W30" s="9"/>
      <c r="X30" s="9"/>
      <c r="Y30" s="9"/>
      <c r="Z30" s="9"/>
      <c r="AA30" s="9"/>
      <c r="AB30" s="9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</row>
    <row r="31" spans="1:56" ht="38.4" customHeight="1" x14ac:dyDescent="0.3">
      <c r="A31" s="15">
        <v>26</v>
      </c>
      <c r="B31" s="16" t="s">
        <v>125</v>
      </c>
      <c r="C31" s="16">
        <v>251034</v>
      </c>
      <c r="D31" s="16" t="s">
        <v>140</v>
      </c>
      <c r="E31" s="16" t="s">
        <v>141</v>
      </c>
      <c r="F31" s="16" t="s">
        <v>142</v>
      </c>
      <c r="G31" s="17" t="s">
        <v>41</v>
      </c>
      <c r="H31" s="18">
        <v>7</v>
      </c>
      <c r="I31" s="27" t="s">
        <v>133</v>
      </c>
      <c r="J31" s="27" t="s">
        <v>143</v>
      </c>
      <c r="K31" s="18" t="s">
        <v>144</v>
      </c>
      <c r="L31" s="20">
        <v>2500</v>
      </c>
      <c r="M31" s="19">
        <f t="shared" si="0"/>
        <v>7</v>
      </c>
      <c r="N31" s="21">
        <f t="shared" si="1"/>
        <v>291.66666666666663</v>
      </c>
      <c r="O31" s="18">
        <v>294</v>
      </c>
      <c r="P31" s="22" t="s">
        <v>145</v>
      </c>
      <c r="Q31" s="23">
        <f t="shared" si="2"/>
        <v>0</v>
      </c>
      <c r="R31" s="24"/>
      <c r="S31" s="25">
        <f t="shared" si="3"/>
        <v>2.3333333333333712</v>
      </c>
      <c r="T31" s="26"/>
      <c r="U31" s="9"/>
      <c r="V31" s="9"/>
      <c r="W31" s="9"/>
      <c r="X31" s="9"/>
      <c r="Y31" s="9"/>
      <c r="Z31" s="9"/>
      <c r="AA31" s="9"/>
      <c r="AB31" s="9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</row>
    <row r="32" spans="1:56" ht="27.6" x14ac:dyDescent="0.3">
      <c r="A32" s="15">
        <v>27</v>
      </c>
      <c r="B32" s="16" t="s">
        <v>125</v>
      </c>
      <c r="C32" s="16">
        <v>251029</v>
      </c>
      <c r="D32" s="16" t="s">
        <v>146</v>
      </c>
      <c r="E32" s="16" t="s">
        <v>147</v>
      </c>
      <c r="F32" s="16" t="s">
        <v>148</v>
      </c>
      <c r="G32" s="17" t="s">
        <v>26</v>
      </c>
      <c r="H32" s="18">
        <v>5</v>
      </c>
      <c r="I32" s="19" t="s">
        <v>133</v>
      </c>
      <c r="J32" s="19" t="s">
        <v>134</v>
      </c>
      <c r="K32" s="18" t="s">
        <v>135</v>
      </c>
      <c r="L32" s="20">
        <v>2500</v>
      </c>
      <c r="M32" s="19">
        <f t="shared" si="0"/>
        <v>5</v>
      </c>
      <c r="N32" s="21">
        <f t="shared" si="1"/>
        <v>208.33333333333331</v>
      </c>
      <c r="O32" s="18">
        <v>210</v>
      </c>
      <c r="P32" s="18" t="s">
        <v>149</v>
      </c>
      <c r="Q32" s="23">
        <f t="shared" si="2"/>
        <v>0</v>
      </c>
      <c r="R32" s="24"/>
      <c r="S32" s="25">
        <f t="shared" si="3"/>
        <v>1.6666666666666856</v>
      </c>
      <c r="T32" s="26"/>
      <c r="U32" s="9"/>
      <c r="V32" s="9"/>
      <c r="W32" s="9"/>
      <c r="X32" s="9"/>
      <c r="Y32" s="9"/>
      <c r="Z32" s="9"/>
      <c r="AA32" s="9"/>
      <c r="AB32" s="9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</row>
    <row r="33" spans="1:56" ht="36.6" customHeight="1" x14ac:dyDescent="0.3">
      <c r="A33" s="15">
        <v>28</v>
      </c>
      <c r="B33" s="16" t="s">
        <v>125</v>
      </c>
      <c r="C33" s="16">
        <v>251037</v>
      </c>
      <c r="D33" s="16" t="s">
        <v>59</v>
      </c>
      <c r="E33" s="16" t="s">
        <v>86</v>
      </c>
      <c r="F33" s="16" t="s">
        <v>150</v>
      </c>
      <c r="G33" s="17" t="s">
        <v>151</v>
      </c>
      <c r="H33" s="18">
        <v>4</v>
      </c>
      <c r="I33" s="26" t="s">
        <v>152</v>
      </c>
      <c r="J33" s="26" t="s">
        <v>153</v>
      </c>
      <c r="K33" s="26" t="s">
        <v>154</v>
      </c>
      <c r="L33" s="20">
        <v>2500</v>
      </c>
      <c r="M33" s="19">
        <f t="shared" si="0"/>
        <v>4</v>
      </c>
      <c r="N33" s="21">
        <f t="shared" si="1"/>
        <v>166.66666666666666</v>
      </c>
      <c r="O33" s="18">
        <v>167</v>
      </c>
      <c r="P33" s="18" t="s">
        <v>155</v>
      </c>
      <c r="Q33" s="23">
        <f t="shared" si="2"/>
        <v>0</v>
      </c>
      <c r="R33" s="24"/>
      <c r="S33" s="25">
        <f t="shared" si="3"/>
        <v>0.33333333333334281</v>
      </c>
      <c r="T33" s="26"/>
      <c r="U33" s="9"/>
      <c r="V33" s="9"/>
      <c r="W33" s="9"/>
      <c r="X33" s="9"/>
      <c r="Y33" s="9"/>
      <c r="Z33" s="9"/>
      <c r="AA33" s="9"/>
      <c r="AB33" s="9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</row>
    <row r="34" spans="1:56" ht="27.6" x14ac:dyDescent="0.3">
      <c r="A34" s="15">
        <v>29</v>
      </c>
      <c r="B34" s="16" t="s">
        <v>156</v>
      </c>
      <c r="C34" s="16">
        <v>251047</v>
      </c>
      <c r="D34" s="16" t="s">
        <v>157</v>
      </c>
      <c r="E34" s="16" t="s">
        <v>158</v>
      </c>
      <c r="F34" s="16" t="s">
        <v>159</v>
      </c>
      <c r="G34" s="17" t="s">
        <v>26</v>
      </c>
      <c r="H34" s="18">
        <v>5</v>
      </c>
      <c r="I34" s="26" t="s">
        <v>152</v>
      </c>
      <c r="J34" s="26" t="s">
        <v>153</v>
      </c>
      <c r="K34" s="18" t="s">
        <v>135</v>
      </c>
      <c r="L34" s="20">
        <v>2500</v>
      </c>
      <c r="M34" s="19">
        <f t="shared" si="0"/>
        <v>5</v>
      </c>
      <c r="N34" s="21">
        <f t="shared" si="1"/>
        <v>208.33333333333331</v>
      </c>
      <c r="O34" s="18">
        <v>209</v>
      </c>
      <c r="P34" s="22" t="s">
        <v>30</v>
      </c>
      <c r="Q34" s="23">
        <f t="shared" si="2"/>
        <v>0</v>
      </c>
      <c r="R34" s="24"/>
      <c r="S34" s="25">
        <f t="shared" si="3"/>
        <v>0.66666666666668561</v>
      </c>
      <c r="T34" s="26"/>
      <c r="U34" s="9"/>
      <c r="V34" s="9"/>
      <c r="W34" s="9"/>
      <c r="X34" s="9"/>
      <c r="Y34" s="9"/>
      <c r="Z34" s="9"/>
      <c r="AA34" s="9"/>
      <c r="AB34" s="9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</row>
    <row r="35" spans="1:56" ht="27.6" x14ac:dyDescent="0.3">
      <c r="A35" s="15">
        <v>30</v>
      </c>
      <c r="B35" s="16" t="s">
        <v>156</v>
      </c>
      <c r="C35" s="16">
        <v>251056</v>
      </c>
      <c r="D35" s="16" t="s">
        <v>160</v>
      </c>
      <c r="E35" s="16" t="s">
        <v>161</v>
      </c>
      <c r="F35" s="16" t="s">
        <v>162</v>
      </c>
      <c r="G35" s="17" t="s">
        <v>26</v>
      </c>
      <c r="H35" s="18">
        <v>5</v>
      </c>
      <c r="I35" s="26" t="s">
        <v>152</v>
      </c>
      <c r="J35" s="26" t="s">
        <v>153</v>
      </c>
      <c r="K35" s="18" t="s">
        <v>135</v>
      </c>
      <c r="L35" s="20">
        <v>2500</v>
      </c>
      <c r="M35" s="19">
        <f t="shared" si="0"/>
        <v>5</v>
      </c>
      <c r="N35" s="21">
        <f t="shared" si="1"/>
        <v>208.33333333333331</v>
      </c>
      <c r="O35" s="18">
        <v>209</v>
      </c>
      <c r="P35" s="22" t="s">
        <v>163</v>
      </c>
      <c r="Q35" s="23">
        <f t="shared" si="2"/>
        <v>0</v>
      </c>
      <c r="R35" s="24"/>
      <c r="S35" s="25">
        <f t="shared" si="3"/>
        <v>0.66666666666668561</v>
      </c>
      <c r="T35" s="26"/>
      <c r="U35" s="9"/>
      <c r="V35" s="9"/>
      <c r="W35" s="9"/>
      <c r="X35" s="9"/>
      <c r="Y35" s="9"/>
      <c r="Z35" s="9"/>
      <c r="AA35" s="9"/>
      <c r="AB35" s="9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</row>
    <row r="36" spans="1:56" ht="45" customHeight="1" x14ac:dyDescent="0.3">
      <c r="A36" s="15">
        <v>31</v>
      </c>
      <c r="B36" s="16" t="s">
        <v>156</v>
      </c>
      <c r="C36" s="16">
        <v>251042</v>
      </c>
      <c r="D36" s="16" t="s">
        <v>164</v>
      </c>
      <c r="E36" s="16" t="s">
        <v>165</v>
      </c>
      <c r="F36" s="16" t="s">
        <v>166</v>
      </c>
      <c r="G36" s="17" t="s">
        <v>151</v>
      </c>
      <c r="H36" s="18">
        <v>4</v>
      </c>
      <c r="I36" s="26" t="s">
        <v>152</v>
      </c>
      <c r="J36" s="26" t="s">
        <v>153</v>
      </c>
      <c r="K36" s="26" t="s">
        <v>154</v>
      </c>
      <c r="L36" s="20">
        <v>2500</v>
      </c>
      <c r="M36" s="19">
        <f t="shared" si="0"/>
        <v>4</v>
      </c>
      <c r="N36" s="21">
        <f t="shared" si="1"/>
        <v>166.66666666666666</v>
      </c>
      <c r="O36" s="18">
        <v>166</v>
      </c>
      <c r="P36" s="22" t="s">
        <v>167</v>
      </c>
      <c r="Q36" s="23">
        <f t="shared" si="2"/>
        <v>0</v>
      </c>
      <c r="R36" s="24"/>
      <c r="S36" s="25">
        <f t="shared" si="3"/>
        <v>-0.66666666666665719</v>
      </c>
      <c r="T36" s="26"/>
      <c r="U36" s="9"/>
      <c r="V36" s="9"/>
      <c r="W36" s="9"/>
      <c r="X36" s="9"/>
      <c r="Y36" s="9"/>
      <c r="Z36" s="9"/>
      <c r="AA36" s="9"/>
      <c r="AB36" s="9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</row>
    <row r="37" spans="1:56" ht="39" customHeight="1" x14ac:dyDescent="0.3">
      <c r="A37" s="15">
        <v>32</v>
      </c>
      <c r="B37" s="16" t="s">
        <v>156</v>
      </c>
      <c r="C37" s="16">
        <v>251044</v>
      </c>
      <c r="D37" s="16" t="s">
        <v>168</v>
      </c>
      <c r="E37" s="16" t="s">
        <v>169</v>
      </c>
      <c r="F37" s="16" t="s">
        <v>170</v>
      </c>
      <c r="G37" s="17" t="s">
        <v>151</v>
      </c>
      <c r="H37" s="18">
        <v>4</v>
      </c>
      <c r="I37" s="26" t="s">
        <v>152</v>
      </c>
      <c r="J37" s="26" t="s">
        <v>153</v>
      </c>
      <c r="K37" s="26" t="s">
        <v>154</v>
      </c>
      <c r="L37" s="20">
        <v>2500</v>
      </c>
      <c r="M37" s="19">
        <f t="shared" si="0"/>
        <v>4</v>
      </c>
      <c r="N37" s="21">
        <f t="shared" si="1"/>
        <v>166.66666666666666</v>
      </c>
      <c r="O37" s="18">
        <v>169</v>
      </c>
      <c r="P37" s="22" t="s">
        <v>171</v>
      </c>
      <c r="Q37" s="23">
        <f t="shared" si="2"/>
        <v>0</v>
      </c>
      <c r="R37" s="24"/>
      <c r="S37" s="25">
        <f t="shared" si="3"/>
        <v>2.3333333333333428</v>
      </c>
      <c r="T37" s="26"/>
      <c r="U37" s="9"/>
      <c r="V37" s="9"/>
      <c r="W37" s="9"/>
      <c r="X37" s="9"/>
      <c r="Y37" s="9"/>
      <c r="Z37" s="9"/>
      <c r="AA37" s="9"/>
      <c r="AB37" s="9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</row>
    <row r="38" spans="1:56" ht="58.2" customHeight="1" x14ac:dyDescent="0.3">
      <c r="A38" s="15">
        <v>33</v>
      </c>
      <c r="B38" s="16" t="s">
        <v>172</v>
      </c>
      <c r="C38" s="16">
        <v>250988</v>
      </c>
      <c r="D38" s="16" t="s">
        <v>173</v>
      </c>
      <c r="E38" s="16" t="s">
        <v>81</v>
      </c>
      <c r="F38" s="16" t="s">
        <v>174</v>
      </c>
      <c r="G38" s="17" t="s">
        <v>175</v>
      </c>
      <c r="H38" s="18">
        <v>7</v>
      </c>
      <c r="I38" s="27" t="s">
        <v>176</v>
      </c>
      <c r="J38" s="27" t="s">
        <v>177</v>
      </c>
      <c r="K38" s="18" t="s">
        <v>176</v>
      </c>
      <c r="L38" s="20">
        <v>3000</v>
      </c>
      <c r="M38" s="19">
        <f t="shared" si="0"/>
        <v>7</v>
      </c>
      <c r="N38" s="21">
        <f t="shared" si="1"/>
        <v>350</v>
      </c>
      <c r="O38" s="18">
        <f>292+58</f>
        <v>350</v>
      </c>
      <c r="P38" s="22" t="s">
        <v>178</v>
      </c>
      <c r="Q38" s="23">
        <v>0</v>
      </c>
      <c r="R38" s="24"/>
      <c r="S38" s="25">
        <v>0</v>
      </c>
      <c r="T38" s="26"/>
      <c r="U38" s="9"/>
      <c r="V38" s="9"/>
      <c r="W38" s="9"/>
      <c r="X38" s="9"/>
      <c r="Y38" s="9"/>
      <c r="Z38" s="9"/>
      <c r="AA38" s="9"/>
      <c r="AB38" s="9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</row>
    <row r="39" spans="1:56" ht="46.2" customHeight="1" x14ac:dyDescent="0.3">
      <c r="A39" s="15">
        <v>34</v>
      </c>
      <c r="B39" s="16" t="s">
        <v>172</v>
      </c>
      <c r="C39" s="16">
        <v>251008</v>
      </c>
      <c r="D39" s="16" t="s">
        <v>179</v>
      </c>
      <c r="E39" s="16" t="s">
        <v>180</v>
      </c>
      <c r="F39" s="16" t="s">
        <v>181</v>
      </c>
      <c r="G39" s="17" t="s">
        <v>175</v>
      </c>
      <c r="H39" s="18">
        <v>7</v>
      </c>
      <c r="I39" s="27" t="s">
        <v>176</v>
      </c>
      <c r="J39" s="27" t="s">
        <v>177</v>
      </c>
      <c r="K39" s="18" t="s">
        <v>176</v>
      </c>
      <c r="L39" s="20">
        <v>3000</v>
      </c>
      <c r="M39" s="19">
        <f t="shared" si="0"/>
        <v>7</v>
      </c>
      <c r="N39" s="21">
        <f t="shared" si="1"/>
        <v>350</v>
      </c>
      <c r="O39" s="18">
        <v>350</v>
      </c>
      <c r="P39" s="22" t="s">
        <v>53</v>
      </c>
      <c r="Q39" s="23">
        <v>0</v>
      </c>
      <c r="R39" s="24"/>
      <c r="S39" s="25">
        <f t="shared" ref="S39" si="4">(R39+O39)-N39</f>
        <v>0</v>
      </c>
      <c r="T39" s="26"/>
      <c r="U39" s="9"/>
      <c r="V39" s="9"/>
      <c r="W39" s="9"/>
      <c r="X39" s="9"/>
      <c r="Y39" s="9"/>
      <c r="Z39" s="9"/>
      <c r="AA39" s="9"/>
      <c r="AB39" s="9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</row>
  </sheetData>
  <mergeCells count="1">
    <mergeCell ref="B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Emel Çetin Özdoğan</dc:creator>
  <cp:lastModifiedBy>Emel Çetin Özdoğan</cp:lastModifiedBy>
  <dcterms:created xsi:type="dcterms:W3CDTF">2026-10-02T11:45:28Z</dcterms:created>
  <dcterms:modified xsi:type="dcterms:W3CDTF">2026-10-02T11:50:23Z</dcterms:modified>
</cp:coreProperties>
</file>